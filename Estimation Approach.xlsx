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25"/>
  <workbookPr/>
  <mc:AlternateContent xmlns:mc="http://schemas.openxmlformats.org/markup-compatibility/2006">
    <mc:Choice Requires="x15">
      <x15ac:absPath xmlns:x15ac="http://schemas.microsoft.com/office/spreadsheetml/2010/11/ac" url="https://msigusa.sharepoint.com/sites/GuideWireCore/Shared Documents/Project Management/Governance/Toyota Self Insured Scope/"/>
    </mc:Choice>
  </mc:AlternateContent>
  <xr:revisionPtr revIDLastSave="0" documentId="8_{85F5FC5E-1549-4303-B648-80EBF4B61ABE}" xr6:coauthVersionLast="47" xr6:coauthVersionMax="47" xr10:uidLastSave="{00000000-0000-0000-0000-000000000000}"/>
  <bookViews>
    <workbookView xWindow="-108" yWindow="-108" windowWidth="23256" windowHeight="12576" firstSheet="1" activeTab="1" xr2:uid="{00000000-000D-0000-FFFF-FFFF00000000}"/>
  </bookViews>
  <sheets>
    <sheet name="CC LOB Estimates break down" sheetId="5" r:id="rId1"/>
    <sheet name="Conversion Estimates break down" sheetId="4" r:id="rId2"/>
    <sheet name="CC Integration Estimates" sheetId="6" r:id="rId3"/>
    <sheet name="Effort Summary" sheetId="1" r:id="rId4"/>
    <sheet name="Modification Needs" sheetId="2" r:id="rId5"/>
    <sheet name="New Work Required" sheetId="3"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8" i="4" l="1"/>
  <c r="E7" i="1"/>
  <c r="E14" i="1" s="1"/>
  <c r="E6" i="1"/>
  <c r="C45" i="5"/>
  <c r="C41" i="5"/>
  <c r="C32" i="5"/>
  <c r="C23" i="5"/>
  <c r="C13" i="5"/>
  <c r="C43" i="5" s="1"/>
  <c r="D6" i="1"/>
  <c r="F7" i="1"/>
  <c r="F14" i="1" s="1"/>
  <c r="F6" i="1" l="1"/>
  <c r="D14" i="1"/>
</calcChain>
</file>

<file path=xl/sharedStrings.xml><?xml version="1.0" encoding="utf-8"?>
<sst xmlns="http://schemas.openxmlformats.org/spreadsheetml/2006/main" count="126" uniqueCount="90">
  <si>
    <r>
      <rPr>
        <sz val="11"/>
        <color rgb="FF000000"/>
        <rFont val="Aptos Narrow"/>
        <scheme val="minor"/>
      </rPr>
      <t xml:space="preserve">ClaimCenter LOB (with OneInc accelerator install) - BA, DEV and QA - </t>
    </r>
    <r>
      <rPr>
        <b/>
        <sz val="11"/>
        <color rgb="FF000000"/>
        <rFont val="Aptos Narrow"/>
        <scheme val="minor"/>
      </rPr>
      <t>EFFORT BREAKUPS</t>
    </r>
  </si>
  <si>
    <t>Initial rough config WAG for the 4 self-contained pieces of work, to be discussed further:</t>
  </si>
  <si>
    <t> </t>
  </si>
  <si>
    <t>Toyota Self Insured from iVos to CC</t>
  </si>
  <si>
    <t>Points</t>
  </si>
  <si>
    <t>OneInc config support for bank account handling and payments screens (3 separate additional accounts for Toyota SI)</t>
  </si>
  <si>
    <t>Bulk invoice – combined check TSI med daily payments (to include hooking up bulk UI to OneInc to issue)</t>
  </si>
  <si>
    <t>Integration support for Genex</t>
  </si>
  <si>
    <t>Policy input and claim adjudication (turn back on and regression all that was done, and finish what wasn’t done)</t>
  </si>
  <si>
    <t>Migration support</t>
  </si>
  <si>
    <t>Vendor Management from iVos to CC/CM – make CM system of record</t>
  </si>
  <si>
    <t>Enable vendor creation in CC and push to CM</t>
  </si>
  <si>
    <t>Enable duplicate match search in CM</t>
  </si>
  <si>
    <t>Enable vendor record review and update approval in CM</t>
  </si>
  <si>
    <t>Enable automated sync from CM to CC  (business probably only wants Tax ID sync, not phone/address)</t>
  </si>
  <si>
    <t>Integration support for GIACT</t>
  </si>
  <si>
    <t>Integration support for vendor sync with One Inc</t>
  </si>
  <si>
    <t>Location Coding from iVos to CC</t>
  </si>
  <si>
    <t>Create location code screens/rules/datamodel in CM</t>
  </si>
  <si>
    <t>Update location code screens/rules/datamodel in CC</t>
  </si>
  <si>
    <t>Enhancements and fixes to existing functionality</t>
  </si>
  <si>
    <t>Integration support for webservice build</t>
  </si>
  <si>
    <t>Migrate existing location structure from Ivos to CM</t>
  </si>
  <si>
    <t>One Inc accelerator install and updates for CC</t>
  </si>
  <si>
    <t>Install accelerator into POC environment</t>
  </si>
  <si>
    <t>Review and updates to screens/batches/rules/datamodel after accelerator POC up and running</t>
  </si>
  <si>
    <t>New feature adoption</t>
  </si>
  <si>
    <t>Integration support</t>
  </si>
  <si>
    <t>OneInc CP4 platform update</t>
  </si>
  <si>
    <t>Total Story Points - CC Configuration</t>
  </si>
  <si>
    <t>Vendor availability and dependencies</t>
  </si>
  <si>
    <t>Total Story Points for CC Configuration -&gt; BA+DEV+QA - In Sprint work</t>
  </si>
  <si>
    <t>Scope</t>
  </si>
  <si>
    <t>Approach - Sample Query Filter condition</t>
  </si>
  <si>
    <t>Quick Summary</t>
  </si>
  <si>
    <t>Add conditions to include claim numbers for Toyota Self Insured (CMT_IN and ClaimCenter) – Needs DEV (Target loading) and QA efforts.</t>
  </si>
  <si>
    <r>
      <rPr>
        <sz val="11"/>
        <color rgb="FF000000"/>
        <rFont val="Aptos Narrow"/>
        <scheme val="minor"/>
      </rPr>
      <t xml:space="preserve">Inner Join </t>
    </r>
    <r>
      <rPr>
        <sz val="11"/>
        <color rgb="FFFF0000"/>
        <rFont val="Aptos Narrow"/>
        <scheme val="minor"/>
      </rPr>
      <t>#RequiredclaimstoMigrate</t>
    </r>
    <r>
      <rPr>
        <sz val="11"/>
        <color rgb="FF000000"/>
        <rFont val="Aptos Narrow"/>
        <scheme val="minor"/>
      </rPr>
      <t xml:space="preserve">  where  Pol.insurer_number in ('0005','0006','TMMK', 'TMMWV')
and CL.insurance_type = 2</t>
    </r>
  </si>
  <si>
    <t>We will extract Required claims based on the scope from stage and we will use that table join to control the claims which we want to load. POC was complete.
No BA work is anticipated considering the agreed approach.</t>
  </si>
  <si>
    <t>Task/Action</t>
  </si>
  <si>
    <t>Go-Live Date</t>
  </si>
  <si>
    <t>Owner</t>
  </si>
  <si>
    <t>Effort (Story Points)</t>
  </si>
  <si>
    <t>Comments</t>
  </si>
  <si>
    <t>Set up Azure environments (if paused)</t>
  </si>
  <si>
    <t>Future release</t>
  </si>
  <si>
    <t>MSIG Infra</t>
  </si>
  <si>
    <t>Prerequisite</t>
  </si>
  <si>
    <t>Test CICD pipelines for code deployment</t>
  </si>
  <si>
    <t>Refresh Ivos Stage database</t>
  </si>
  <si>
    <t>MSIG IVOS</t>
  </si>
  <si>
    <t>Refresh commonly used tables for Toyota Self insured (Target Loading)</t>
  </si>
  <si>
    <t>ACN</t>
  </si>
  <si>
    <t>Address deferred defects and Resolve</t>
  </si>
  <si>
    <t>ACN/MSIG</t>
  </si>
  <si>
    <t>Assuming  a maximum of ~10 defects. If there will be more defects, effort is subject to increase depending on the complexity.</t>
  </si>
  <si>
    <t>Conversion Support from Configuration</t>
  </si>
  <si>
    <t>Rework of entities</t>
  </si>
  <si>
    <t>There is no rework considered as of now. If any rework needed that will be estimated seperately.</t>
  </si>
  <si>
    <t>Test ETL flow</t>
  </si>
  <si>
    <t>QA Reconciliation</t>
  </si>
  <si>
    <t>Total Story Points for Claim Conversion -&gt; BA+DEV+QA - In Sprint work</t>
  </si>
  <si>
    <t>Option 3</t>
  </si>
  <si>
    <t>Moving Toyota Self Insured to ClaimCenter Cloud and then switch to One Inc</t>
  </si>
  <si>
    <t>Location Code and Vendor Management continue to be on iVOS</t>
  </si>
  <si>
    <t>Story Points</t>
  </si>
  <si>
    <t>Areas</t>
  </si>
  <si>
    <t>Original Scope (Story Points)</t>
  </si>
  <si>
    <t>Modification Required (Story Points)</t>
  </si>
  <si>
    <t>Net New Addition (Story Points)</t>
  </si>
  <si>
    <t>Notes</t>
  </si>
  <si>
    <t>ClaimCenter LOB (with OneInc accelerator install) - BA, DEV and QA</t>
  </si>
  <si>
    <r>
      <rPr>
        <sz val="11"/>
        <color rgb="FF000000"/>
        <rFont val="Aptos Narrow"/>
        <scheme val="minor"/>
      </rPr>
      <t xml:space="preserve">Karthik K - Please work with Tech leads, Stef
</t>
    </r>
    <r>
      <rPr>
        <b/>
        <sz val="11"/>
        <color rgb="FF000000"/>
        <rFont val="Aptos Narrow"/>
        <scheme val="minor"/>
      </rPr>
      <t>04/04</t>
    </r>
    <r>
      <rPr>
        <sz val="11"/>
        <color rgb="FF000000"/>
        <rFont val="Aptos Narrow"/>
        <scheme val="minor"/>
      </rPr>
      <t xml:space="preserve"> - Karthik K - DONE</t>
    </r>
  </si>
  <si>
    <t>Claim Conversion - BA, DEV and QA (Excluding the Prerequisites)</t>
  </si>
  <si>
    <t>Claims Integration</t>
  </si>
  <si>
    <t>Tammy - Please work with integration leads</t>
  </si>
  <si>
    <t>Legacy Integrations</t>
  </si>
  <si>
    <t>Anandhi - Please update legacy integration</t>
  </si>
  <si>
    <t>EDP</t>
  </si>
  <si>
    <t>Sree - To understand this requirements and provide an update</t>
  </si>
  <si>
    <t>Modification Needs required for the descoped features for TSI to bring back</t>
  </si>
  <si>
    <t>ClaimCenter LOB</t>
  </si>
  <si>
    <t>CC Integrations</t>
  </si>
  <si>
    <t>Genex should be fully built if OneInc Accelarator is coming in before TSI</t>
  </si>
  <si>
    <t>New work</t>
  </si>
  <si>
    <t>Stort Points</t>
  </si>
  <si>
    <t>OneInc Accelarator</t>
  </si>
  <si>
    <t>New work, should we do this before TSI? What is the effort and time required? What are the dependencies we have to do this before TSI</t>
  </si>
  <si>
    <t>Integrations</t>
  </si>
  <si>
    <t>If OneInc Accelarator is added before TSI no legacy integration is in picture, all integration through CC and to EDP</t>
  </si>
  <si>
    <t>EDP work required for treasury if OneInc accelarator in place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</si>
</sst>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Aptos Narrow"/>
      <family val="2"/>
      <scheme val="minor"/>
    </font>
    <font>
      <sz val="11"/>
      <color theme="1"/>
      <name val="Aptos Narrow"/>
      <scheme val="minor"/>
    </font>
    <font>
      <sz val="11"/>
      <color theme="0" tint="-4.9989318521683403E-2"/>
      <name val="Aptos Narrow"/>
      <family val="2"/>
      <scheme val="minor"/>
    </font>
    <font>
      <sz val="11"/>
      <color theme="1"/>
      <name val="Aptos"/>
      <family val="2"/>
      <charset val="1"/>
    </font>
    <font>
      <b/>
      <sz val="11"/>
      <color theme="1"/>
      <name val="Aptos"/>
      <family val="2"/>
      <charset val="1"/>
    </font>
    <font>
      <b/>
      <sz val="11"/>
      <color theme="1"/>
      <name val="Aptos Narrow"/>
      <family val="2"/>
      <scheme val="minor"/>
    </font>
    <font>
      <sz val="11"/>
      <color rgb="FF000000"/>
      <name val="Aptos Narrow"/>
      <scheme val="minor"/>
    </font>
    <font>
      <b/>
      <sz val="11"/>
      <color rgb="FF000000"/>
      <name val="Aptos Narrow"/>
      <scheme val="minor"/>
    </font>
    <font>
      <sz val="11"/>
      <color rgb="FFFF0000"/>
      <name val="Aptos Narrow"/>
      <scheme val="minor"/>
    </font>
    <font>
      <b/>
      <sz val="11"/>
      <color rgb="FF000000"/>
      <name val="Aptos Narrow"/>
      <family val="2"/>
    </font>
    <font>
      <sz val="11"/>
      <color rgb="FF000000"/>
      <name val="Aptos Narrow"/>
      <family val="2"/>
    </font>
    <font>
      <sz val="11"/>
      <color rgb="FF000000"/>
      <name val="Aptos Narrow"/>
      <family val="2"/>
      <charset val="1"/>
    </font>
  </fonts>
  <fills count="7">
    <fill>
      <patternFill patternType="none"/>
    </fill>
    <fill>
      <patternFill patternType="gray125"/>
    </fill>
    <fill>
      <patternFill patternType="solid">
        <fgColor rgb="FF002060"/>
        <bgColor indexed="64"/>
      </patternFill>
    </fill>
    <fill>
      <patternFill patternType="solid">
        <fgColor rgb="FFFFC000"/>
        <bgColor indexed="64"/>
      </patternFill>
    </fill>
    <fill>
      <patternFill patternType="solid">
        <fgColor rgb="FFFFFF00"/>
        <bgColor indexed="64"/>
      </patternFill>
    </fill>
    <fill>
      <patternFill patternType="solid">
        <fgColor rgb="FFC1F0C8"/>
        <bgColor rgb="FF000000"/>
      </patternFill>
    </fill>
    <fill>
      <patternFill patternType="solid">
        <fgColor theme="5" tint="0.7999816888943144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FF000000"/>
      </left>
      <right/>
      <top style="thin">
        <color rgb="FF000000"/>
      </top>
      <bottom style="thin">
        <color rgb="FF000000"/>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1">
    <xf numFmtId="0" fontId="0" fillId="0" borderId="0"/>
  </cellStyleXfs>
  <cellXfs count="34">
    <xf numFmtId="0" fontId="0" fillId="0" borderId="0" xfId="0"/>
    <xf numFmtId="0" fontId="2" fillId="2" borderId="0" xfId="0" applyFont="1" applyFill="1"/>
    <xf numFmtId="0" fontId="0" fillId="0" borderId="1" xfId="0" applyBorder="1"/>
    <xf numFmtId="0" fontId="2" fillId="2" borderId="0" xfId="0" applyFont="1" applyFill="1" applyAlignment="1">
      <alignment wrapText="1"/>
    </xf>
    <xf numFmtId="0" fontId="0" fillId="0" borderId="0" xfId="0" applyAlignment="1">
      <alignment wrapText="1"/>
    </xf>
    <xf numFmtId="0" fontId="0" fillId="0" borderId="5" xfId="0" applyBorder="1"/>
    <xf numFmtId="0" fontId="0" fillId="0" borderId="6" xfId="0" applyBorder="1"/>
    <xf numFmtId="0" fontId="0" fillId="0" borderId="2" xfId="0" applyBorder="1"/>
    <xf numFmtId="0" fontId="0" fillId="0" borderId="2" xfId="0" applyBorder="1" applyAlignment="1">
      <alignment wrapText="1"/>
    </xf>
    <xf numFmtId="0" fontId="0" fillId="0" borderId="7" xfId="0" applyBorder="1"/>
    <xf numFmtId="0" fontId="0" fillId="0" borderId="8" xfId="0" applyBorder="1"/>
    <xf numFmtId="0" fontId="3" fillId="0" borderId="0" xfId="0" applyFont="1"/>
    <xf numFmtId="0" fontId="3" fillId="0" borderId="9" xfId="0" applyFont="1" applyBorder="1"/>
    <xf numFmtId="0" fontId="4" fillId="0" borderId="9" xfId="0" applyFont="1" applyBorder="1"/>
    <xf numFmtId="0" fontId="5" fillId="0" borderId="0" xfId="0" applyFont="1"/>
    <xf numFmtId="0" fontId="5" fillId="0" borderId="0" xfId="0" applyFont="1" applyAlignment="1">
      <alignment wrapText="1"/>
    </xf>
    <xf numFmtId="0" fontId="6" fillId="4" borderId="0" xfId="0" applyFont="1" applyFill="1"/>
    <xf numFmtId="0" fontId="9" fillId="5" borderId="5" xfId="0" applyFont="1" applyFill="1" applyBorder="1" applyAlignment="1">
      <alignment horizontal="center" wrapText="1"/>
    </xf>
    <xf numFmtId="0" fontId="10" fillId="0" borderId="5" xfId="0" applyFont="1" applyBorder="1" applyAlignment="1">
      <alignment wrapText="1"/>
    </xf>
    <xf numFmtId="0" fontId="10" fillId="0" borderId="5" xfId="0" applyFont="1" applyBorder="1" applyAlignment="1">
      <alignment horizontal="center" wrapText="1"/>
    </xf>
    <xf numFmtId="0" fontId="0" fillId="0" borderId="5" xfId="0" applyBorder="1" applyAlignment="1">
      <alignment horizontal="left" wrapText="1"/>
    </xf>
    <xf numFmtId="0" fontId="0" fillId="0" borderId="5" xfId="0" applyBorder="1" applyAlignment="1">
      <alignment wrapText="1"/>
    </xf>
    <xf numFmtId="0" fontId="0" fillId="6" borderId="0" xfId="0" applyFill="1"/>
    <xf numFmtId="0" fontId="5" fillId="6" borderId="0" xfId="0" applyFont="1" applyFill="1" applyAlignment="1">
      <alignment horizontal="center"/>
    </xf>
    <xf numFmtId="0" fontId="0" fillId="0" borderId="0" xfId="0" applyAlignment="1">
      <alignment horizontal="center"/>
    </xf>
    <xf numFmtId="0" fontId="4" fillId="0" borderId="10" xfId="0" applyFont="1" applyBorder="1" applyAlignment="1">
      <alignment horizontal="center"/>
    </xf>
    <xf numFmtId="0" fontId="4" fillId="0" borderId="0" xfId="0" applyFont="1"/>
    <xf numFmtId="0" fontId="6" fillId="0" borderId="1" xfId="0" applyFont="1" applyBorder="1" applyAlignment="1">
      <alignment wrapText="1"/>
    </xf>
    <xf numFmtId="0" fontId="11" fillId="0" borderId="11" xfId="0" applyFont="1" applyBorder="1"/>
    <xf numFmtId="0" fontId="11" fillId="0" borderId="12" xfId="0" applyFont="1" applyBorder="1" applyAlignment="1">
      <alignment horizontal="center"/>
    </xf>
    <xf numFmtId="0" fontId="1" fillId="0" borderId="5" xfId="0" applyFont="1" applyBorder="1" applyAlignment="1">
      <alignment wrapText="1"/>
    </xf>
    <xf numFmtId="0" fontId="0" fillId="3" borderId="2" xfId="0" applyFill="1" applyBorder="1" applyAlignment="1">
      <alignment horizontal="center"/>
    </xf>
    <xf numFmtId="0" fontId="0" fillId="3" borderId="3" xfId="0" applyFill="1" applyBorder="1" applyAlignment="1">
      <alignment horizontal="center"/>
    </xf>
    <xf numFmtId="0" fontId="0" fillId="3" borderId="4" xfId="0" applyFill="1" applyBorder="1" applyAlignment="1">
      <alignment horizont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BC22A-A60C-44BC-86FA-35A69B3FC005}">
  <dimension ref="B3:C45"/>
  <sheetViews>
    <sheetView topLeftCell="A26" workbookViewId="0">
      <selection activeCell="B47" sqref="B47"/>
    </sheetView>
  </sheetViews>
  <sheetFormatPr defaultRowHeight="15"/>
  <cols>
    <col min="2" max="2" width="112.7109375" bestFit="1" customWidth="1"/>
    <col min="3" max="3" width="12.5703125" style="24" customWidth="1"/>
  </cols>
  <sheetData>
    <row r="3" spans="2:3">
      <c r="B3" s="16" t="s">
        <v>0</v>
      </c>
    </row>
    <row r="4" spans="2:3">
      <c r="B4" s="11" t="s">
        <v>1</v>
      </c>
    </row>
    <row r="5" spans="2:3">
      <c r="B5" s="11" t="s">
        <v>2</v>
      </c>
    </row>
    <row r="6" spans="2:3">
      <c r="B6" s="26" t="s">
        <v>3</v>
      </c>
    </row>
    <row r="7" spans="2:3">
      <c r="B7" s="12" t="s">
        <v>2</v>
      </c>
      <c r="C7" s="25" t="s">
        <v>4</v>
      </c>
    </row>
    <row r="8" spans="2:3">
      <c r="B8" s="28" t="s">
        <v>5</v>
      </c>
      <c r="C8" s="29">
        <v>13</v>
      </c>
    </row>
    <row r="9" spans="2:3">
      <c r="B9" s="28" t="s">
        <v>6</v>
      </c>
      <c r="C9" s="29">
        <v>34</v>
      </c>
    </row>
    <row r="10" spans="2:3">
      <c r="B10" s="28" t="s">
        <v>7</v>
      </c>
      <c r="C10" s="29">
        <v>8</v>
      </c>
    </row>
    <row r="11" spans="2:3">
      <c r="B11" s="28" t="s">
        <v>8</v>
      </c>
      <c r="C11" s="29">
        <v>55</v>
      </c>
    </row>
    <row r="12" spans="2:3">
      <c r="B12" s="28" t="s">
        <v>9</v>
      </c>
      <c r="C12" s="29">
        <v>5</v>
      </c>
    </row>
    <row r="13" spans="2:3">
      <c r="B13" s="11" t="s">
        <v>2</v>
      </c>
      <c r="C13" s="24">
        <f>SUM(C8:C12)</f>
        <v>115</v>
      </c>
    </row>
    <row r="14" spans="2:3">
      <c r="B14" s="11" t="s">
        <v>2</v>
      </c>
    </row>
    <row r="15" spans="2:3">
      <c r="B15" s="26" t="s">
        <v>10</v>
      </c>
    </row>
    <row r="16" spans="2:3">
      <c r="B16" s="12" t="s">
        <v>2</v>
      </c>
      <c r="C16" s="25" t="s">
        <v>4</v>
      </c>
    </row>
    <row r="17" spans="2:3">
      <c r="B17" s="28" t="s">
        <v>11</v>
      </c>
      <c r="C17" s="29">
        <v>21</v>
      </c>
    </row>
    <row r="18" spans="2:3">
      <c r="B18" s="28" t="s">
        <v>12</v>
      </c>
      <c r="C18" s="29">
        <v>13</v>
      </c>
    </row>
    <row r="19" spans="2:3">
      <c r="B19" s="28" t="s">
        <v>13</v>
      </c>
      <c r="C19" s="29">
        <v>13</v>
      </c>
    </row>
    <row r="20" spans="2:3">
      <c r="B20" s="28" t="s">
        <v>14</v>
      </c>
      <c r="C20" s="29">
        <v>8</v>
      </c>
    </row>
    <row r="21" spans="2:3">
      <c r="B21" s="28" t="s">
        <v>15</v>
      </c>
      <c r="C21" s="29">
        <v>8</v>
      </c>
    </row>
    <row r="22" spans="2:3">
      <c r="B22" s="28" t="s">
        <v>16</v>
      </c>
      <c r="C22" s="29">
        <v>8</v>
      </c>
    </row>
    <row r="23" spans="2:3">
      <c r="B23" s="11" t="s">
        <v>2</v>
      </c>
      <c r="C23" s="24">
        <f>SUM(C16:C22)</f>
        <v>71</v>
      </c>
    </row>
    <row r="24" spans="2:3">
      <c r="B24" s="11" t="s">
        <v>2</v>
      </c>
    </row>
    <row r="25" spans="2:3">
      <c r="B25" s="26" t="s">
        <v>17</v>
      </c>
    </row>
    <row r="26" spans="2:3">
      <c r="B26" s="13" t="s">
        <v>2</v>
      </c>
      <c r="C26" s="25" t="s">
        <v>4</v>
      </c>
    </row>
    <row r="27" spans="2:3">
      <c r="B27" s="28" t="s">
        <v>18</v>
      </c>
      <c r="C27" s="29">
        <v>34</v>
      </c>
    </row>
    <row r="28" spans="2:3">
      <c r="B28" s="28" t="s">
        <v>19</v>
      </c>
      <c r="C28" s="29">
        <v>13</v>
      </c>
    </row>
    <row r="29" spans="2:3">
      <c r="B29" s="28" t="s">
        <v>20</v>
      </c>
      <c r="C29" s="29">
        <v>13</v>
      </c>
    </row>
    <row r="30" spans="2:3">
      <c r="B30" s="28" t="s">
        <v>21</v>
      </c>
      <c r="C30" s="29">
        <v>8</v>
      </c>
    </row>
    <row r="31" spans="2:3">
      <c r="B31" s="28" t="s">
        <v>22</v>
      </c>
      <c r="C31" s="29">
        <v>21</v>
      </c>
    </row>
    <row r="32" spans="2:3">
      <c r="B32" s="11" t="s">
        <v>2</v>
      </c>
      <c r="C32" s="24">
        <f>SUM(C27:C31)</f>
        <v>89</v>
      </c>
    </row>
    <row r="33" spans="2:3">
      <c r="B33" s="11" t="s">
        <v>2</v>
      </c>
    </row>
    <row r="34" spans="2:3">
      <c r="B34" s="26" t="s">
        <v>23</v>
      </c>
    </row>
    <row r="35" spans="2:3">
      <c r="B35" s="12" t="s">
        <v>2</v>
      </c>
      <c r="C35" s="25" t="s">
        <v>4</v>
      </c>
    </row>
    <row r="36" spans="2:3">
      <c r="B36" s="28" t="s">
        <v>24</v>
      </c>
      <c r="C36" s="29">
        <v>13</v>
      </c>
    </row>
    <row r="37" spans="2:3">
      <c r="B37" s="28" t="s">
        <v>25</v>
      </c>
      <c r="C37" s="29">
        <v>34</v>
      </c>
    </row>
    <row r="38" spans="2:3">
      <c r="B38" s="28" t="s">
        <v>26</v>
      </c>
      <c r="C38" s="29">
        <v>21</v>
      </c>
    </row>
    <row r="39" spans="2:3">
      <c r="B39" s="28" t="s">
        <v>27</v>
      </c>
      <c r="C39" s="29">
        <v>8</v>
      </c>
    </row>
    <row r="40" spans="2:3">
      <c r="B40" s="28" t="s">
        <v>28</v>
      </c>
      <c r="C40" s="29">
        <v>21</v>
      </c>
    </row>
    <row r="41" spans="2:3">
      <c r="C41" s="24">
        <f>SUM(C36:C40)</f>
        <v>97</v>
      </c>
    </row>
    <row r="43" spans="2:3">
      <c r="B43" s="22" t="s">
        <v>29</v>
      </c>
      <c r="C43" s="23">
        <f>C13+C23+C32+C41</f>
        <v>372</v>
      </c>
    </row>
    <row r="44" spans="2:3">
      <c r="B44" s="22" t="s">
        <v>30</v>
      </c>
      <c r="C44" s="23">
        <v>40</v>
      </c>
    </row>
    <row r="45" spans="2:3">
      <c r="B45" s="14" t="s">
        <v>31</v>
      </c>
      <c r="C45" s="23">
        <f>C43+C44</f>
        <v>412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0DC8F-5901-4707-B631-AC61BDB8B2BC}">
  <dimension ref="A1:E18"/>
  <sheetViews>
    <sheetView tabSelected="1" topLeftCell="A11" workbookViewId="0">
      <selection activeCell="E16" sqref="E16"/>
    </sheetView>
  </sheetViews>
  <sheetFormatPr defaultRowHeight="15"/>
  <cols>
    <col min="1" max="1" width="50.5703125" customWidth="1"/>
    <col min="2" max="2" width="46.85546875" customWidth="1"/>
    <col min="3" max="3" width="52" customWidth="1"/>
    <col min="4" max="4" width="14.42578125" customWidth="1"/>
    <col min="5" max="5" width="39" customWidth="1"/>
  </cols>
  <sheetData>
    <row r="1" spans="1:5">
      <c r="A1" s="17" t="s">
        <v>32</v>
      </c>
      <c r="B1" s="17" t="s">
        <v>33</v>
      </c>
      <c r="C1" s="17" t="s">
        <v>34</v>
      </c>
    </row>
    <row r="2" spans="1:5" ht="72.75">
      <c r="A2" s="20" t="s">
        <v>35</v>
      </c>
      <c r="B2" s="30" t="s">
        <v>36</v>
      </c>
      <c r="C2" s="21" t="s">
        <v>37</v>
      </c>
    </row>
    <row r="7" spans="1:5" ht="29.25">
      <c r="A7" s="17" t="s">
        <v>38</v>
      </c>
      <c r="B7" s="17" t="s">
        <v>39</v>
      </c>
      <c r="C7" s="17" t="s">
        <v>40</v>
      </c>
      <c r="D7" s="17" t="s">
        <v>41</v>
      </c>
      <c r="E7" s="17" t="s">
        <v>42</v>
      </c>
    </row>
    <row r="8" spans="1:5">
      <c r="A8" s="18" t="s">
        <v>43</v>
      </c>
      <c r="B8" s="19" t="s">
        <v>44</v>
      </c>
      <c r="C8" s="19" t="s">
        <v>45</v>
      </c>
      <c r="D8" s="19"/>
      <c r="E8" s="18" t="s">
        <v>46</v>
      </c>
    </row>
    <row r="9" spans="1:5">
      <c r="A9" s="18" t="s">
        <v>47</v>
      </c>
      <c r="B9" s="19" t="s">
        <v>44</v>
      </c>
      <c r="C9" s="19" t="s">
        <v>45</v>
      </c>
      <c r="D9" s="19"/>
      <c r="E9" s="18" t="s">
        <v>46</v>
      </c>
    </row>
    <row r="10" spans="1:5">
      <c r="A10" s="18" t="s">
        <v>48</v>
      </c>
      <c r="B10" s="19" t="s">
        <v>44</v>
      </c>
      <c r="C10" s="19" t="s">
        <v>49</v>
      </c>
      <c r="D10" s="19"/>
      <c r="E10" s="18" t="s">
        <v>46</v>
      </c>
    </row>
    <row r="11" spans="1:5" ht="29.25">
      <c r="A11" s="18" t="s">
        <v>50</v>
      </c>
      <c r="B11" s="19" t="s">
        <v>44</v>
      </c>
      <c r="C11" s="19" t="s">
        <v>51</v>
      </c>
      <c r="D11" s="19">
        <v>10</v>
      </c>
      <c r="E11" s="18"/>
    </row>
    <row r="12" spans="1:5" ht="43.5">
      <c r="A12" s="18" t="s">
        <v>52</v>
      </c>
      <c r="B12" s="19" t="s">
        <v>44</v>
      </c>
      <c r="C12" s="19" t="s">
        <v>53</v>
      </c>
      <c r="D12" s="19">
        <v>30</v>
      </c>
      <c r="E12" s="18" t="s">
        <v>54</v>
      </c>
    </row>
    <row r="13" spans="1:5">
      <c r="A13" s="18" t="s">
        <v>55</v>
      </c>
      <c r="B13" s="19" t="s">
        <v>44</v>
      </c>
      <c r="C13" s="19" t="s">
        <v>51</v>
      </c>
      <c r="D13" s="19">
        <v>20</v>
      </c>
      <c r="E13" s="18"/>
    </row>
    <row r="14" spans="1:5" ht="43.5">
      <c r="A14" s="18" t="s">
        <v>56</v>
      </c>
      <c r="B14" s="19" t="s">
        <v>44</v>
      </c>
      <c r="C14" s="19" t="s">
        <v>53</v>
      </c>
      <c r="D14" s="19"/>
      <c r="E14" s="18" t="s">
        <v>57</v>
      </c>
    </row>
    <row r="15" spans="1:5">
      <c r="A15" s="18" t="s">
        <v>58</v>
      </c>
      <c r="B15" s="19" t="s">
        <v>44</v>
      </c>
      <c r="C15" s="19" t="s">
        <v>51</v>
      </c>
      <c r="D15" s="19">
        <v>10</v>
      </c>
      <c r="E15" s="18"/>
    </row>
    <row r="16" spans="1:5">
      <c r="A16" s="18" t="s">
        <v>59</v>
      </c>
      <c r="B16" s="19" t="s">
        <v>44</v>
      </c>
      <c r="C16" s="19" t="s">
        <v>51</v>
      </c>
      <c r="D16" s="19">
        <v>30</v>
      </c>
      <c r="E16" s="18"/>
    </row>
    <row r="18" spans="1:4">
      <c r="A18" s="14" t="s">
        <v>60</v>
      </c>
      <c r="D18" s="23">
        <f>SUM(D8:D16)</f>
        <v>100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0826D4-5204-4D8C-B4FE-B90457A8DEB5}">
  <dimension ref="A1"/>
  <sheetViews>
    <sheetView workbookViewId="0"/>
  </sheetViews>
  <sheetFormatPr defaultRowHeight="1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G50"/>
  <sheetViews>
    <sheetView workbookViewId="0">
      <selection activeCell="F14" sqref="F14"/>
    </sheetView>
  </sheetViews>
  <sheetFormatPr defaultRowHeight="15" customHeight="1"/>
  <cols>
    <col min="1" max="1" width="9.28515625" customWidth="1"/>
    <col min="2" max="2" width="64.42578125" customWidth="1"/>
    <col min="3" max="3" width="11.42578125" customWidth="1"/>
    <col min="4" max="4" width="17.85546875" customWidth="1"/>
    <col min="5" max="5" width="19.7109375" customWidth="1"/>
    <col min="6" max="6" width="16.28515625" customWidth="1"/>
    <col min="7" max="7" width="52.5703125" customWidth="1"/>
    <col min="8" max="8" width="33.5703125" customWidth="1"/>
  </cols>
  <sheetData>
    <row r="2" spans="1:7" ht="43.5">
      <c r="A2" s="14" t="s">
        <v>61</v>
      </c>
      <c r="B2" s="15" t="s">
        <v>62</v>
      </c>
      <c r="C2" s="4"/>
      <c r="D2" s="4" t="s">
        <v>63</v>
      </c>
    </row>
    <row r="4" spans="1:7">
      <c r="D4" s="31" t="s">
        <v>64</v>
      </c>
      <c r="E4" s="32"/>
      <c r="F4" s="33"/>
    </row>
    <row r="5" spans="1:7" ht="29.25">
      <c r="B5" s="1" t="s">
        <v>65</v>
      </c>
      <c r="C5" s="1"/>
      <c r="D5" s="3" t="s">
        <v>66</v>
      </c>
      <c r="E5" s="3" t="s">
        <v>67</v>
      </c>
      <c r="F5" s="3" t="s">
        <v>68</v>
      </c>
      <c r="G5" s="1" t="s">
        <v>69</v>
      </c>
    </row>
    <row r="6" spans="1:7" ht="29.25">
      <c r="B6" s="2" t="s">
        <v>70</v>
      </c>
      <c r="C6" s="2"/>
      <c r="D6" s="2">
        <f>9+8+25</f>
        <v>42</v>
      </c>
      <c r="E6" s="2">
        <f>'CC LOB Estimates break down'!C45</f>
        <v>412</v>
      </c>
      <c r="F6" s="2">
        <f>E6-D6</f>
        <v>370</v>
      </c>
      <c r="G6" s="27" t="s">
        <v>71</v>
      </c>
    </row>
    <row r="7" spans="1:7" ht="29.25">
      <c r="B7" s="2" t="s">
        <v>72</v>
      </c>
      <c r="C7" s="2"/>
      <c r="D7" s="2">
        <v>5</v>
      </c>
      <c r="E7" s="2">
        <f>'Conversion Estimates break down'!D18</f>
        <v>100</v>
      </c>
      <c r="F7" s="2">
        <f>E7-D7</f>
        <v>95</v>
      </c>
      <c r="G7" s="27" t="s">
        <v>71</v>
      </c>
    </row>
    <row r="8" spans="1:7">
      <c r="B8" s="2" t="s">
        <v>73</v>
      </c>
      <c r="C8" s="2"/>
      <c r="D8" s="2"/>
      <c r="E8" s="2"/>
      <c r="F8" s="2"/>
      <c r="G8" s="2" t="s">
        <v>74</v>
      </c>
    </row>
    <row r="9" spans="1:7">
      <c r="B9" s="2" t="s">
        <v>75</v>
      </c>
      <c r="C9" s="2"/>
      <c r="D9" s="2"/>
      <c r="E9" s="2"/>
      <c r="F9" s="2"/>
      <c r="G9" s="2" t="s">
        <v>76</v>
      </c>
    </row>
    <row r="10" spans="1:7">
      <c r="B10" s="2" t="s">
        <v>77</v>
      </c>
      <c r="C10" s="2"/>
      <c r="D10" s="2"/>
      <c r="E10" s="2"/>
      <c r="F10" s="2"/>
      <c r="G10" s="2" t="s">
        <v>78</v>
      </c>
    </row>
    <row r="11" spans="1:7">
      <c r="B11" s="2"/>
      <c r="C11" s="2"/>
      <c r="D11" s="2"/>
      <c r="E11" s="2"/>
      <c r="F11" s="2"/>
      <c r="G11" s="2"/>
    </row>
    <row r="12" spans="1:7">
      <c r="B12" s="2"/>
      <c r="C12" s="2"/>
      <c r="D12" s="2"/>
      <c r="E12" s="2"/>
      <c r="F12" s="2"/>
      <c r="G12" s="2"/>
    </row>
    <row r="13" spans="1:7">
      <c r="B13" s="2"/>
      <c r="C13" s="2"/>
      <c r="D13" s="2"/>
      <c r="E13" s="2"/>
      <c r="F13" s="2"/>
      <c r="G13" s="2"/>
    </row>
    <row r="14" spans="1:7" ht="15" customHeight="1">
      <c r="D14">
        <f>SUM(D6:D13)</f>
        <v>47</v>
      </c>
      <c r="E14">
        <f>SUM(E6:E13)</f>
        <v>512</v>
      </c>
      <c r="F14">
        <f>SUM(F6:F13)</f>
        <v>465</v>
      </c>
    </row>
    <row r="50" spans="2:2" ht="15" customHeight="1">
      <c r="B50" s="11" t="s">
        <v>2</v>
      </c>
    </row>
  </sheetData>
  <mergeCells count="1">
    <mergeCell ref="D4:F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EB84A-0F03-4B9D-9779-100C1AC4E5D0}">
  <dimension ref="B3:D16"/>
  <sheetViews>
    <sheetView workbookViewId="0">
      <selection activeCell="D4" sqref="D4"/>
    </sheetView>
  </sheetViews>
  <sheetFormatPr defaultRowHeight="14.45"/>
  <cols>
    <col min="2" max="2" width="25" customWidth="1"/>
    <col min="3" max="3" width="111" customWidth="1"/>
    <col min="4" max="4" width="14.85546875" customWidth="1"/>
  </cols>
  <sheetData>
    <row r="3" spans="2:4" ht="15">
      <c r="B3" s="1" t="s">
        <v>65</v>
      </c>
      <c r="C3" s="1" t="s">
        <v>79</v>
      </c>
      <c r="D3" s="1" t="s">
        <v>64</v>
      </c>
    </row>
    <row r="4" spans="2:4">
      <c r="B4" s="2" t="s">
        <v>80</v>
      </c>
      <c r="C4" s="7"/>
      <c r="D4" s="5"/>
    </row>
    <row r="5" spans="2:4">
      <c r="B5" s="2"/>
      <c r="C5" s="7"/>
      <c r="D5" s="5"/>
    </row>
    <row r="6" spans="2:4">
      <c r="B6" s="2"/>
      <c r="C6" s="7"/>
      <c r="D6" s="5"/>
    </row>
    <row r="7" spans="2:4">
      <c r="B7" s="2"/>
      <c r="C7" s="7"/>
      <c r="D7" s="5"/>
    </row>
    <row r="8" spans="2:4">
      <c r="B8" s="2"/>
      <c r="C8" s="7"/>
      <c r="D8" s="5"/>
    </row>
    <row r="9" spans="2:4">
      <c r="B9" s="2" t="s">
        <v>81</v>
      </c>
      <c r="C9" s="7" t="s">
        <v>82</v>
      </c>
      <c r="D9" s="5"/>
    </row>
    <row r="10" spans="2:4">
      <c r="B10" s="2"/>
      <c r="C10" s="7"/>
      <c r="D10" s="5"/>
    </row>
    <row r="11" spans="2:4">
      <c r="B11" s="2"/>
      <c r="C11" s="7"/>
      <c r="D11" s="5"/>
    </row>
    <row r="12" spans="2:4">
      <c r="B12" s="2"/>
      <c r="C12" s="7"/>
      <c r="D12" s="5"/>
    </row>
    <row r="13" spans="2:4">
      <c r="B13" s="2"/>
      <c r="C13" s="7"/>
      <c r="D13" s="5"/>
    </row>
    <row r="14" spans="2:4">
      <c r="B14" s="2"/>
      <c r="C14" s="7"/>
      <c r="D14" s="5"/>
    </row>
    <row r="15" spans="2:4">
      <c r="B15" s="2"/>
      <c r="C15" s="7"/>
      <c r="D15" s="5"/>
    </row>
    <row r="16" spans="2:4">
      <c r="B16" s="2"/>
      <c r="C16" s="7"/>
      <c r="D16" s="5"/>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B1B41-C88F-4D2F-A041-BA407A51B461}">
  <dimension ref="B3:D21"/>
  <sheetViews>
    <sheetView workbookViewId="0">
      <selection activeCell="C21" sqref="C21"/>
    </sheetView>
  </sheetViews>
  <sheetFormatPr defaultRowHeight="14.45"/>
  <cols>
    <col min="2" max="2" width="25" customWidth="1"/>
    <col min="3" max="3" width="111" customWidth="1"/>
    <col min="4" max="4" width="28.7109375" customWidth="1"/>
  </cols>
  <sheetData>
    <row r="3" spans="2:4" ht="15">
      <c r="B3" s="1" t="s">
        <v>65</v>
      </c>
      <c r="C3" s="1" t="s">
        <v>83</v>
      </c>
      <c r="D3" s="1" t="s">
        <v>84</v>
      </c>
    </row>
    <row r="4" spans="2:4">
      <c r="B4" s="2" t="s">
        <v>80</v>
      </c>
      <c r="C4" s="7"/>
      <c r="D4" s="5"/>
    </row>
    <row r="5" spans="2:4">
      <c r="B5" s="2"/>
      <c r="C5" s="7"/>
      <c r="D5" s="5"/>
    </row>
    <row r="6" spans="2:4">
      <c r="B6" s="2"/>
      <c r="C6" s="7"/>
      <c r="D6" s="5"/>
    </row>
    <row r="7" spans="2:4">
      <c r="B7" s="2"/>
      <c r="C7" s="7"/>
      <c r="D7" s="5"/>
    </row>
    <row r="8" spans="2:4">
      <c r="B8" s="2"/>
      <c r="C8" s="7"/>
      <c r="D8" s="5"/>
    </row>
    <row r="9" spans="2:4">
      <c r="B9" s="2" t="s">
        <v>81</v>
      </c>
      <c r="C9" s="7"/>
      <c r="D9" s="5"/>
    </row>
    <row r="10" spans="2:4">
      <c r="B10" s="2"/>
      <c r="C10" s="7"/>
      <c r="D10" s="5"/>
    </row>
    <row r="11" spans="2:4">
      <c r="B11" s="2"/>
      <c r="C11" s="7"/>
      <c r="D11" s="5"/>
    </row>
    <row r="12" spans="2:4" ht="29.25">
      <c r="B12" s="2" t="s">
        <v>85</v>
      </c>
      <c r="C12" s="8" t="s">
        <v>86</v>
      </c>
      <c r="D12" s="5"/>
    </row>
    <row r="13" spans="2:4">
      <c r="B13" s="2"/>
      <c r="C13" s="7"/>
      <c r="D13" s="5"/>
    </row>
    <row r="14" spans="2:4">
      <c r="B14" s="2"/>
      <c r="C14" s="7"/>
      <c r="D14" s="5"/>
    </row>
    <row r="15" spans="2:4">
      <c r="B15" s="6"/>
      <c r="C15" s="9"/>
      <c r="D15" s="5"/>
    </row>
    <row r="16" spans="2:4">
      <c r="B16" s="5" t="s">
        <v>87</v>
      </c>
      <c r="C16" s="10" t="s">
        <v>88</v>
      </c>
      <c r="D16" s="5"/>
    </row>
    <row r="17" spans="2:4">
      <c r="B17" s="5"/>
      <c r="C17" s="10"/>
      <c r="D17" s="5"/>
    </row>
    <row r="18" spans="2:4">
      <c r="B18" s="5"/>
      <c r="C18" s="10"/>
      <c r="D18" s="5"/>
    </row>
    <row r="19" spans="2:4">
      <c r="B19" s="5"/>
      <c r="C19" s="10"/>
      <c r="D19" s="5"/>
    </row>
    <row r="20" spans="2:4">
      <c r="B20" s="5" t="s">
        <v>77</v>
      </c>
      <c r="C20" s="10" t="s">
        <v>89</v>
      </c>
      <c r="D20" s="5"/>
    </row>
    <row r="21" spans="2:4">
      <c r="B21" s="5"/>
      <c r="C21" s="10"/>
      <c r="D21" s="5"/>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Comment xmlns="0951d47c-76a3-4312-a701-9433091774dd" xsi:nil="true"/>
    <SprintNumber xmlns="0951d47c-76a3-4312-a701-9433091774dd" xsi:nil="true"/>
    <TaxCatchAll xmlns="44ea2daf-98c2-4554-9527-f5aa83daa0bb" xsi:nil="true"/>
    <lcf76f155ced4ddcb4097134ff3c332f xmlns="d107f104-516f-43f0-bf06-dcd20288d0b0">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A9FBB8973BEF34DA3FACEF89E9EFF64" ma:contentTypeVersion="8" ma:contentTypeDescription="Create a new document." ma:contentTypeScope="" ma:versionID="2316e410fe7ea688b9543606dc2d9dbb">
  <xsd:schema xmlns:xsd="http://www.w3.org/2001/XMLSchema" xmlns:xs="http://www.w3.org/2001/XMLSchema" xmlns:p="http://schemas.microsoft.com/office/2006/metadata/properties" xmlns:ns2="0951d47c-76a3-4312-a701-9433091774dd" xmlns:ns3="6e413ac8-71b7-438c-8913-caca88e41cb2" xmlns:ns4="44ea2daf-98c2-4554-9527-f5aa83daa0bb" xmlns:ns5="d107f104-516f-43f0-bf06-dcd20288d0b0" targetNamespace="http://schemas.microsoft.com/office/2006/metadata/properties" ma:root="true" ma:fieldsID="5056a4748a7126e3e46a6e56cedccf2f" ns2:_="" ns3:_="" ns4:_="" ns5:_="">
    <xsd:import namespace="0951d47c-76a3-4312-a701-9433091774dd"/>
    <xsd:import namespace="6e413ac8-71b7-438c-8913-caca88e41cb2"/>
    <xsd:import namespace="44ea2daf-98c2-4554-9527-f5aa83daa0bb"/>
    <xsd:import namespace="d107f104-516f-43f0-bf06-dcd20288d0b0"/>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3:SharedWithUsers" minOccurs="0"/>
                <xsd:element ref="ns3:SharedWithDetails" minOccurs="0"/>
                <xsd:element ref="ns2:MediaServiceOCR" minOccurs="0"/>
                <xsd:element ref="ns2:MediaServiceSearchProperties" minOccurs="0"/>
                <xsd:element ref="ns2:SprintNumber" minOccurs="0"/>
                <xsd:element ref="ns2:Comment" minOccurs="0"/>
                <xsd:element ref="ns4:TaxCatchAll" minOccurs="0"/>
                <xsd:element ref="ns5: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951d47c-76a3-4312-a701-9433091774d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SearchProperties" ma:index="18" nillable="true" ma:displayName="MediaServiceSearchProperties" ma:hidden="true" ma:internalName="MediaServiceSearchProperties" ma:readOnly="true">
      <xsd:simpleType>
        <xsd:restriction base="dms:Note"/>
      </xsd:simpleType>
    </xsd:element>
    <xsd:element name="SprintNumber" ma:index="19" nillable="true" ma:displayName="Sprint Number" ma:format="Dropdown" ma:internalName="SprintNumber">
      <xsd:simpleType>
        <xsd:restriction base="dms:Text">
          <xsd:maxLength value="255"/>
        </xsd:restriction>
      </xsd:simpleType>
    </xsd:element>
    <xsd:element name="Comment" ma:index="20" nillable="true" ma:displayName="Comment" ma:format="Dropdown" ma:internalName="Comment">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e413ac8-71b7-438c-8913-caca88e41cb2"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4ea2daf-98c2-4554-9527-f5aa83daa0bb"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a23639a8-a662-487b-8d17-15f551f4d7f2}" ma:internalName="TaxCatchAll" ma:showField="CatchAllData" ma:web="44ea2daf-98c2-4554-9527-f5aa83daa0bb">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107f104-516f-43f0-bf06-dcd20288d0b0" elementFormDefault="qualified">
    <xsd:import namespace="http://schemas.microsoft.com/office/2006/documentManagement/types"/>
    <xsd:import namespace="http://schemas.microsoft.com/office/infopath/2007/PartnerControls"/>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858e858d-45bc-4983-b2a4-2b3df8a69330"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B97A51A-F19E-4BC7-B610-90F47EC1E4C5}"/>
</file>

<file path=customXml/itemProps2.xml><?xml version="1.0" encoding="utf-8"?>
<ds:datastoreItem xmlns:ds="http://schemas.openxmlformats.org/officeDocument/2006/customXml" ds:itemID="{8282B8B4-6362-463C-85DC-BF9DDFC777FA}"/>
</file>

<file path=customXml/itemProps3.xml><?xml version="1.0" encoding="utf-8"?>
<ds:datastoreItem xmlns:ds="http://schemas.openxmlformats.org/officeDocument/2006/customXml" ds:itemID="{6EEED5AD-2E7A-4474-B4F0-6081E6E5280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2025-03-12T11:36:03Z</dcterms:created>
  <dcterms:modified xsi:type="dcterms:W3CDTF">2025-08-29T07:14:04Z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0x010100EA9FBB8973BEF34DA3FACEF89E9EFF64</vt:lpwstr>
  </property>
  <property fmtid="{D5CDD505-2E9C-101B-9397-08002B2CF9AE}" pid="3" name="MediaServiceImageTags">
    <vt:lpwstr/>
  </property>
</Properties>
</file>